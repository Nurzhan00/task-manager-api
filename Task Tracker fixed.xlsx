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Задачи" sheetId="1" state="visible" r:id="rId3"/>
    <sheet name="📊 Сводный отчёт" sheetId="2" state="visible" r:id="rId4"/>
    <sheet name="📚 Справочник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<sst xmlns="http://schemas.openxmlformats.org/spreadsheetml/2006/main" count="112" uniqueCount="79">
  <si>
    <t xml:space="preserve">📋 ТРЕКЕР ЗАДАЧ — ИТ ПОДДЕРЖКА</t>
  </si>
  <si>
    <t xml:space="preserve">ID</t>
  </si>
  <si>
    <t xml:space="preserve">Отправитель</t>
  </si>
  <si>
    <t xml:space="preserve">Тема письма</t>
  </si>
  <si>
    <t xml:space="preserve">Содержание
письма</t>
  </si>
  <si>
    <t xml:space="preserve">Описание задачи
(своими словами)</t>
  </si>
  <si>
    <t xml:space="preserve">Дата
поступления</t>
  </si>
  <si>
    <t xml:space="preserve">Дата и время
задачи</t>
  </si>
  <si>
    <t xml:space="preserve">Срок выполнения
(план)</t>
  </si>
  <si>
    <t xml:space="preserve">Дата и время
выполнения (факт)</t>
  </si>
  <si>
    <t xml:space="preserve">Статус</t>
  </si>
  <si>
    <t xml:space="preserve">Приоритет</t>
  </si>
  <si>
    <t xml:space="preserve">Исполнитель</t>
  </si>
  <si>
    <t xml:space="preserve">Квартал
(план)</t>
  </si>
  <si>
    <t xml:space="preserve">Квартал
(факт)</t>
  </si>
  <si>
    <t xml:space="preserve">Решение / ответ</t>
  </si>
  <si>
    <t xml:space="preserve">Комментарии</t>
  </si>
  <si>
    <t xml:space="preserve">Управление /
Отдел</t>
  </si>
  <si>
    <t xml:space="preserve">Тип задачи</t>
  </si>
  <si>
    <t xml:space="preserve">Иванов А.С. (Отдел кадров)</t>
  </si>
  <si>
    <t xml:space="preserve">Анализ звонка клиента</t>
  </si>
  <si>
    <t xml:space="preserve">Добрый день, прошу проверить holdtime при звонке клиента 27.04.2025 в 09:42, номер +7 701 XXX-XX-XX</t>
  </si>
  <si>
    <t xml:space="preserve">Проверить holdtime по звонку — дата, время и номер клиента указаны</t>
  </si>
  <si>
    <t xml:space="preserve">Выполнена</t>
  </si>
  <si>
    <t xml:space="preserve">Высокий</t>
  </si>
  <si>
    <t xml:space="preserve">Нуржан</t>
  </si>
  <si>
    <t xml:space="preserve">Holdtime составил 1 мин 42 сек. Ответ направлен письмом.</t>
  </si>
  <si>
    <t xml:space="preserve">Отдел кадров</t>
  </si>
  <si>
    <t xml:space="preserve">Анализ звонка</t>
  </si>
  <si>
    <t xml:space="preserve">📊 СВОДНЫЙ КВАРТАЛЬНЫЙ ОТЧЁТ</t>
  </si>
  <si>
    <t xml:space="preserve">⚡ Данные обновляются автоматически из листа «📋 Задачи». Выберите квартал в ячейке B4.</t>
  </si>
  <si>
    <t xml:space="preserve">🔎 Выбранный квартал (например: Q2 2025):</t>
  </si>
  <si>
    <t xml:space="preserve">Q2 2025</t>
  </si>
  <si>
    <t xml:space="preserve">  📌 1. Общая статистика за квартал</t>
  </si>
  <si>
    <t xml:space="preserve">Всего задач поступило</t>
  </si>
  <si>
    <t xml:space="preserve">Всего задач выполнено</t>
  </si>
  <si>
    <t xml:space="preserve">% выполнения</t>
  </si>
  <si>
    <t xml:space="preserve">Задач в работе</t>
  </si>
  <si>
    <t xml:space="preserve">Задач в ожидании</t>
  </si>
  <si>
    <t xml:space="preserve">Задач в бэклоге</t>
  </si>
  <si>
    <t xml:space="preserve">Задач отменено</t>
  </si>
  <si>
    <t xml:space="preserve">На согласовании</t>
  </si>
  <si>
    <t xml:space="preserve">Перенесено</t>
  </si>
  <si>
    <t xml:space="preserve">  📋 2. Разбивка по статусам (факт-квартал)</t>
  </si>
  <si>
    <t xml:space="preserve">Кол-во</t>
  </si>
  <si>
    <t xml:space="preserve">% от всех</t>
  </si>
  <si>
    <t xml:space="preserve">В работе</t>
  </si>
  <si>
    <t xml:space="preserve">В ожидании</t>
  </si>
  <si>
    <t xml:space="preserve">В бэклоге</t>
  </si>
  <si>
    <t xml:space="preserve">Отменена</t>
  </si>
  <si>
    <t xml:space="preserve">Перенесена</t>
  </si>
  <si>
    <t xml:space="preserve">  🎯 3. Выполненные задачи по приоритету</t>
  </si>
  <si>
    <t xml:space="preserve">Выполнено</t>
  </si>
  <si>
    <t xml:space="preserve">% от выполн.</t>
  </si>
  <si>
    <t xml:space="preserve">Средний</t>
  </si>
  <si>
    <t xml:space="preserve">Низкий</t>
  </si>
  <si>
    <t xml:space="preserve">  📅 4. Годовая сводка по всем кварталам (2025)</t>
  </si>
  <si>
    <t xml:space="preserve">Квартал</t>
  </si>
  <si>
    <t xml:space="preserve">Поступило</t>
  </si>
  <si>
    <t xml:space="preserve">Отменено</t>
  </si>
  <si>
    <t xml:space="preserve">Q1 2025</t>
  </si>
  <si>
    <t xml:space="preserve">Q3 2025</t>
  </si>
  <si>
    <t xml:space="preserve">Q4 2025</t>
  </si>
  <si>
    <t xml:space="preserve">ИТОГО</t>
  </si>
  <si>
    <t xml:space="preserve">  🔧 5. Топ типов задач за квартал</t>
  </si>
  <si>
    <t xml:space="preserve">Отчёт</t>
  </si>
  <si>
    <t xml:space="preserve">Техническая поддержка</t>
  </si>
  <si>
    <t xml:space="preserve">Настройка</t>
  </si>
  <si>
    <t xml:space="preserve">Консультация</t>
  </si>
  <si>
    <t xml:space="preserve">Прочее</t>
  </si>
  <si>
    <t xml:space="preserve">💡 Инструкция: впишите квартал в ячейку B4 (например Q1 2025, Q2 2025). Все таблицы пересчитаются автоматически.</t>
  </si>
  <si>
    <t xml:space="preserve">📚 СПРАВОЧНИК ЗНАЧЕНИЙ</t>
  </si>
  <si>
    <t xml:space="preserve">Статус задачи</t>
  </si>
  <si>
    <t xml:space="preserve">Отдел / Управление</t>
  </si>
  <si>
    <t xml:space="preserve">Бухгалтерия</t>
  </si>
  <si>
    <t xml:space="preserve">ИТ-отдел</t>
  </si>
  <si>
    <t xml:space="preserve">Юридический отдел</t>
  </si>
  <si>
    <t xml:space="preserve">Отдел продаж</t>
  </si>
  <si>
    <t xml:space="preserve">Служба безопасности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</si>
</sst>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dd\.mm\.yyyy\ hh:mm"/>
    <numFmt numFmtId="167" formatCode="General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Cambria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8F8F8"/>
      </patternFill>
    </fill>
    <fill>
      <patternFill patternType="solid">
        <fgColor rgb="FFDEEAF1"/>
        <bgColor rgb="FFDDEBF7"/>
      </patternFill>
    </fill>
    <fill>
      <patternFill patternType="solid">
        <fgColor rgb="FFFFF2CC"/>
        <bgColor rgb="FFFFFACD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EEAF1"/>
      </patternFill>
    </fill>
    <fill>
      <patternFill patternType="solid">
        <fgColor rgb="FFC6EFCE"/>
        <bgColor rgb="FFCCFFCC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F2DCDB"/>
        <bgColor rgb="FFFCE4D6"/>
      </patternFill>
    </fill>
    <fill>
      <patternFill patternType="solid">
        <fgColor rgb="FFE2D4F0"/>
        <bgColor rgb="FFF2DCDB"/>
      </patternFill>
    </fill>
    <fill>
      <patternFill patternType="solid">
        <fgColor rgb="FFFCE4D6"/>
        <bgColor rgb="FFF2DCDB"/>
      </patternFill>
    </fill>
    <fill>
      <patternFill patternType="solid">
        <fgColor rgb="FFFFCCCC"/>
        <bgColor rgb="FFF2DCDB"/>
      </patternFill>
    </fill>
    <fill>
      <patternFill patternType="solid">
        <fgColor rgb="FFFFFACD"/>
        <bgColor rgb="FFFFF2CC"/>
      </patternFill>
    </fill>
    <fill>
      <patternFill patternType="solid">
        <fgColor rgb="FFCCFFCC"/>
        <bgColor rgb="FFC6EFCE"/>
      </patternFill>
    </fill>
    <fill>
      <patternFill patternType="solid">
        <fgColor rgb="FFF8F8F8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2DCDB"/>
        </patternFill>
      </fill>
    </dxf>
    <dxf>
      <fill>
        <patternFill>
          <bgColor rgb="FFE2EFDA"/>
        </patternFill>
      </fill>
    </dxf>
    <dxf>
      <fill>
        <patternFill>
          <bgColor rgb="FFE2D4F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C6EFCE"/>
      <rgbColor rgb="FF993366"/>
      <rgbColor rgb="FFFFFACD"/>
      <rgbColor rgb="FFDDEBF7"/>
      <rgbColor rgb="FF660066"/>
      <rgbColor rgb="FFFF8080"/>
      <rgbColor rgb="FF0066CC"/>
      <rgbColor rgb="FFE2D4F0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EB9C"/>
      <rgbColor rgb="FFD6E4F0"/>
      <rgbColor rgb="FFF2DCDB"/>
      <rgbColor rgb="FFDEEAF1"/>
      <rgbColor rgb="FFFFCCCC"/>
      <rgbColor rgb="FF2E75B6"/>
      <rgbColor rgb="FF33CCCC"/>
      <rgbColor rgb="FF99CC00"/>
      <rgbColor rgb="FFFCE4D6"/>
      <rgbColor rgb="FFFF9900"/>
      <rgbColor rgb="FFFF6600"/>
      <rgbColor rgb="FF595959"/>
      <rgbColor rgb="FFF8F8F8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35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10" min="8" style="1" width="15"/>
    <col collapsed="false" customWidth="true" hidden="false" outlineLevel="0" max="11" min="11" style="1" width="12"/>
    <col collapsed="false" customWidth="true" hidden="false" outlineLevel="0" max="12" min="12" style="1" width="16"/>
    <col collapsed="false" customWidth="true" hidden="false" outlineLevel="0" max="14" min="13" style="1" width="12"/>
    <col collapsed="false" customWidth="true" hidden="false" outlineLevel="0" max="15" min="15" style="1" width="40"/>
    <col collapsed="false" customWidth="true" hidden="false" outlineLevel="0" max="16" min="16" style="1" width="30"/>
    <col collapsed="false" customWidth="true" hidden="false" outlineLevel="0" max="17" min="17" style="1" width="16"/>
    <col collapsed="false" customWidth="true" hidden="false" outlineLevel="0" max="18" min="18" style="1" width="1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36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customFormat="false" ht="45" hidden="false" customHeight="true" outlineLevel="0" collapsed="false">
      <c r="A3" s="4" t="n">
        <v>1</v>
      </c>
      <c r="B3" s="4" t="s">
        <v>19</v>
      </c>
      <c r="C3" s="4" t="s">
        <v>20</v>
      </c>
      <c r="D3" s="4" t="s">
        <v>21</v>
      </c>
      <c r="E3" s="4" t="s">
        <v>22</v>
      </c>
      <c r="F3" s="5" t="n">
        <v>45774</v>
      </c>
      <c r="G3" s="6" t="n">
        <v>45774.4270833333</v>
      </c>
      <c r="H3" s="6" t="n">
        <v>45774.4583333333</v>
      </c>
      <c r="I3" s="6" t="n">
        <v>45774.4430555556</v>
      </c>
      <c r="J3" s="4" t="s">
        <v>23</v>
      </c>
      <c r="K3" s="4" t="s">
        <v>24</v>
      </c>
      <c r="L3" s="4" t="s">
        <v>25</v>
      </c>
      <c r="M3" s="4" t="str">
        <f aca="false">IF(OR(G3="",NOT(ISNUMBER(G3))),"","Q"&amp;INT((MONTH(G3)-1)/3+1)&amp;" "&amp;YEAR(G3))</f>
        <v>Q2 2025</v>
      </c>
      <c r="N3" s="4" t="str">
        <f aca="false">IF(OR(I3="",NOT(ISNUMBER(I3))),"","Q"&amp;INT((MONTH(I3)-1)/3+1)&amp;" "&amp;YEAR(I3))</f>
        <v>Q2 2025</v>
      </c>
      <c r="O3" s="4" t="s">
        <v>26</v>
      </c>
      <c r="P3" s="4"/>
      <c r="Q3" s="4" t="s">
        <v>27</v>
      </c>
      <c r="R3" s="4" t="s">
        <v>28</v>
      </c>
    </row>
    <row r="4" customFormat="false" ht="39.75" hidden="false" customHeight="true" outlineLevel="0" collapsed="false">
      <c r="A4" s="7" t="str">
        <f aca="false">IF(B4="","",ROW()-2)</f>
        <v/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 t="str">
        <f aca="false">IF(OR(G4="",NOT(ISNUMBER(G4))),"","Q"&amp;INT((MONTH(G4)-1)/3+1)&amp;" "&amp;YEAR(G4))</f>
        <v/>
      </c>
      <c r="N4" s="7" t="str">
        <f aca="false">IF(OR(I4="",NOT(ISNUMBER(I4))),"","Q"&amp;INT((MONTH(I4)-1)/3+1)&amp;" "&amp;YEAR(I4))</f>
        <v/>
      </c>
      <c r="O4" s="7"/>
      <c r="P4" s="7"/>
      <c r="Q4" s="7"/>
      <c r="R4" s="7"/>
    </row>
    <row r="5" customFormat="false" ht="39.75" hidden="false" customHeight="true" outlineLevel="0" collapsed="false">
      <c r="A5" s="4" t="str">
        <f aca="false">IF(B5="","",ROW()-2)</f>
        <v/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 t="str">
        <f aca="false">IF(OR(G5="",NOT(ISNUMBER(G5))),"","Q"&amp;INT((MONTH(G5)-1)/3+1)&amp;" "&amp;YEAR(G5))</f>
        <v/>
      </c>
      <c r="N5" s="4" t="str">
        <f aca="false">IF(OR(I5="",NOT(ISNUMBER(I5))),"","Q"&amp;INT((MONTH(I5)-1)/3+1)&amp;" "&amp;YEAR(I5))</f>
        <v/>
      </c>
      <c r="O5" s="4"/>
      <c r="P5" s="4"/>
      <c r="Q5" s="4"/>
      <c r="R5" s="4"/>
    </row>
    <row r="6" customFormat="false" ht="39.75" hidden="false" customHeight="true" outlineLevel="0" collapsed="false">
      <c r="A6" s="7" t="str">
        <f aca="false">IF(B6="","",ROW()-2)</f>
        <v/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 t="str">
        <f aca="false">IF(OR(G6="",NOT(ISNUMBER(G6))),"","Q"&amp;INT((MONTH(G6)-1)/3+1)&amp;" "&amp;YEAR(G6))</f>
        <v/>
      </c>
      <c r="N6" s="7" t="str">
        <f aca="false">IF(OR(I6="",NOT(ISNUMBER(I6))),"","Q"&amp;INT((MONTH(I6)-1)/3+1)&amp;" "&amp;YEAR(I6))</f>
        <v/>
      </c>
      <c r="O6" s="7"/>
      <c r="P6" s="7"/>
      <c r="Q6" s="7"/>
      <c r="R6" s="7"/>
    </row>
    <row r="7" customFormat="false" ht="39.75" hidden="false" customHeight="true" outlineLevel="0" collapsed="false">
      <c r="A7" s="4" t="str">
        <f aca="false">IF(B7="","",ROW()-2)</f>
        <v/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 t="str">
        <f aca="false">IF(OR(G7="",NOT(ISNUMBER(G7))),"","Q"&amp;INT((MONTH(G7)-1)/3+1)&amp;" "&amp;YEAR(G7))</f>
        <v/>
      </c>
      <c r="N7" s="4" t="str">
        <f aca="false">IF(OR(I7="",NOT(ISNUMBER(I7))),"","Q"&amp;INT((MONTH(I7)-1)/3+1)&amp;" "&amp;YEAR(I7))</f>
        <v/>
      </c>
      <c r="O7" s="4"/>
      <c r="P7" s="4"/>
      <c r="Q7" s="4"/>
      <c r="R7" s="4"/>
    </row>
    <row r="8" customFormat="false" ht="39.75" hidden="false" customHeight="true" outlineLevel="0" collapsed="false">
      <c r="A8" s="7" t="str">
        <f aca="false">IF(B8="","",ROW()-2)</f>
        <v/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 t="str">
        <f aca="false">IF(OR(G8="",NOT(ISNUMBER(G8))),"","Q"&amp;INT((MONTH(G8)-1)/3+1)&amp;" "&amp;YEAR(G8))</f>
        <v/>
      </c>
      <c r="N8" s="7" t="str">
        <f aca="false">IF(OR(I8="",NOT(ISNUMBER(I8))),"","Q"&amp;INT((MONTH(I8)-1)/3+1)&amp;" "&amp;YEAR(I8))</f>
        <v/>
      </c>
      <c r="O8" s="7"/>
      <c r="P8" s="7"/>
      <c r="Q8" s="7"/>
      <c r="R8" s="7"/>
    </row>
    <row r="9" customFormat="false" ht="39.75" hidden="false" customHeight="true" outlineLevel="0" collapsed="false">
      <c r="A9" s="4" t="str">
        <f aca="false">IF(B9="","",ROW()-2)</f>
        <v/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 t="str">
        <f aca="false">IF(OR(G9="",NOT(ISNUMBER(G9))),"","Q"&amp;INT((MONTH(G9)-1)/3+1)&amp;" "&amp;YEAR(G9))</f>
        <v/>
      </c>
      <c r="N9" s="4" t="str">
        <f aca="false">IF(OR(I9="",NOT(ISNUMBER(I9))),"","Q"&amp;INT((MONTH(I9)-1)/3+1)&amp;" "&amp;YEAR(I9))</f>
        <v/>
      </c>
      <c r="O9" s="4"/>
      <c r="P9" s="4"/>
      <c r="Q9" s="4"/>
      <c r="R9" s="4"/>
    </row>
    <row r="10" customFormat="false" ht="39.75" hidden="false" customHeight="true" outlineLevel="0" collapsed="false">
      <c r="A10" s="7" t="str">
        <f aca="false">IF(B10="","",ROW()-2)</f>
        <v/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 t="str">
        <f aca="false">IF(OR(G10="",NOT(ISNUMBER(G10))),"","Q"&amp;INT((MONTH(G10)-1)/3+1)&amp;" "&amp;YEAR(G10))</f>
        <v/>
      </c>
      <c r="N10" s="7" t="str">
        <f aca="false">IF(OR(I10="",NOT(ISNUMBER(I10))),"","Q"&amp;INT((MONTH(I10)-1)/3+1)&amp;" "&amp;YEAR(I10))</f>
        <v/>
      </c>
      <c r="O10" s="7"/>
      <c r="P10" s="7"/>
      <c r="Q10" s="7"/>
      <c r="R10" s="7"/>
    </row>
    <row r="11" customFormat="false" ht="39.75" hidden="false" customHeight="true" outlineLevel="0" collapsed="false">
      <c r="A11" s="4" t="str">
        <f aca="false">IF(B11="","",ROW()-2)</f>
        <v/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 t="str">
        <f aca="false">IF(OR(G11="",NOT(ISNUMBER(G11))),"","Q"&amp;INT((MONTH(G11)-1)/3+1)&amp;" "&amp;YEAR(G11))</f>
        <v/>
      </c>
      <c r="N11" s="4" t="str">
        <f aca="false">IF(OR(I11="",NOT(ISNUMBER(I11))),"","Q"&amp;INT((MONTH(I11)-1)/3+1)&amp;" "&amp;YEAR(I11))</f>
        <v/>
      </c>
      <c r="O11" s="4"/>
      <c r="P11" s="4"/>
      <c r="Q11" s="4"/>
      <c r="R11" s="4"/>
    </row>
    <row r="12" customFormat="false" ht="39.75" hidden="false" customHeight="true" outlineLevel="0" collapsed="false">
      <c r="A12" s="7" t="str">
        <f aca="false">IF(B12="","",ROW()-2)</f>
        <v/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 t="str">
        <f aca="false">IF(OR(G12="",NOT(ISNUMBER(G12))),"","Q"&amp;INT((MONTH(G12)-1)/3+1)&amp;" "&amp;YEAR(G12))</f>
        <v/>
      </c>
      <c r="N12" s="7" t="str">
        <f aca="false">IF(OR(I12="",NOT(ISNUMBER(I12))),"","Q"&amp;INT((MONTH(I12)-1)/3+1)&amp;" "&amp;YEAR(I12))</f>
        <v/>
      </c>
      <c r="O12" s="7"/>
      <c r="P12" s="7"/>
      <c r="Q12" s="7"/>
      <c r="R12" s="7"/>
    </row>
    <row r="13" customFormat="false" ht="39.75" hidden="false" customHeight="true" outlineLevel="0" collapsed="false">
      <c r="A13" s="4" t="str">
        <f aca="false">IF(B13="","",ROW()-2)</f>
        <v/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 t="str">
        <f aca="false">IF(OR(G13="",NOT(ISNUMBER(G13))),"","Q"&amp;INT((MONTH(G13)-1)/3+1)&amp;" "&amp;YEAR(G13))</f>
        <v/>
      </c>
      <c r="N13" s="4" t="str">
        <f aca="false">IF(OR(I13="",NOT(ISNUMBER(I13))),"","Q"&amp;INT((MONTH(I13)-1)/3+1)&amp;" "&amp;YEAR(I13))</f>
        <v/>
      </c>
      <c r="O13" s="4"/>
      <c r="P13" s="4"/>
      <c r="Q13" s="4"/>
      <c r="R13" s="4"/>
    </row>
    <row r="14" customFormat="false" ht="39.75" hidden="false" customHeight="true" outlineLevel="0" collapsed="false">
      <c r="A14" s="7" t="str">
        <f aca="false">IF(B14="","",ROW()-2)</f>
        <v/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 t="str">
        <f aca="false">IF(OR(G14="",NOT(ISNUMBER(G14))),"","Q"&amp;INT((MONTH(G14)-1)/3+1)&amp;" "&amp;YEAR(G14))</f>
        <v/>
      </c>
      <c r="N14" s="7" t="str">
        <f aca="false">IF(OR(I14="",NOT(ISNUMBER(I14))),"","Q"&amp;INT((MONTH(I14)-1)/3+1)&amp;" "&amp;YEAR(I14))</f>
        <v/>
      </c>
      <c r="O14" s="7"/>
      <c r="P14" s="7"/>
      <c r="Q14" s="7"/>
      <c r="R14" s="7"/>
    </row>
    <row r="15" customFormat="false" ht="39.75" hidden="false" customHeight="true" outlineLevel="0" collapsed="false">
      <c r="A15" s="4" t="str">
        <f aca="false">IF(B15="","",ROW()-2)</f>
        <v/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 t="str">
        <f aca="false">IF(OR(G15="",NOT(ISNUMBER(G15))),"","Q"&amp;INT((MONTH(G15)-1)/3+1)&amp;" "&amp;YEAR(G15))</f>
        <v/>
      </c>
      <c r="N15" s="4" t="str">
        <f aca="false">IF(OR(I15="",NOT(ISNUMBER(I15))),"","Q"&amp;INT((MONTH(I15)-1)/3+1)&amp;" "&amp;YEAR(I15))</f>
        <v/>
      </c>
      <c r="O15" s="4"/>
      <c r="P15" s="4"/>
      <c r="Q15" s="4"/>
      <c r="R15" s="4"/>
    </row>
    <row r="16" customFormat="false" ht="39.75" hidden="false" customHeight="true" outlineLevel="0" collapsed="false">
      <c r="A16" s="7" t="str">
        <f aca="false">IF(B16="","",ROW()-2)</f>
        <v/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 t="str">
        <f aca="false">IF(OR(G16="",NOT(ISNUMBER(G16))),"","Q"&amp;INT((MONTH(G16)-1)/3+1)&amp;" "&amp;YEAR(G16))</f>
        <v/>
      </c>
      <c r="N16" s="7" t="str">
        <f aca="false">IF(OR(I16="",NOT(ISNUMBER(I16))),"","Q"&amp;INT((MONTH(I16)-1)/3+1)&amp;" "&amp;YEAR(I16))</f>
        <v/>
      </c>
      <c r="O16" s="7"/>
      <c r="P16" s="7"/>
      <c r="Q16" s="7"/>
      <c r="R16" s="7"/>
    </row>
    <row r="17" customFormat="false" ht="39.75" hidden="false" customHeight="true" outlineLevel="0" collapsed="false">
      <c r="A17" s="4" t="str">
        <f aca="false">IF(B17="","",ROW()-2)</f>
        <v/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 t="str">
        <f aca="false">IF(OR(G17="",NOT(ISNUMBER(G17))),"","Q"&amp;INT((MONTH(G17)-1)/3+1)&amp;" "&amp;YEAR(G17))</f>
        <v/>
      </c>
      <c r="N17" s="4" t="str">
        <f aca="false">IF(OR(I17="",NOT(ISNUMBER(I17))),"","Q"&amp;INT((MONTH(I17)-1)/3+1)&amp;" "&amp;YEAR(I17))</f>
        <v/>
      </c>
      <c r="O17" s="4"/>
      <c r="P17" s="4"/>
      <c r="Q17" s="4"/>
      <c r="R17" s="4"/>
    </row>
    <row r="18" customFormat="false" ht="39.75" hidden="false" customHeight="true" outlineLevel="0" collapsed="false">
      <c r="A18" s="7" t="str">
        <f aca="false">IF(B18="","",ROW()-2)</f>
        <v/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 t="str">
        <f aca="false">IF(OR(G18="",NOT(ISNUMBER(G18))),"","Q"&amp;INT((MONTH(G18)-1)/3+1)&amp;" "&amp;YEAR(G18))</f>
        <v/>
      </c>
      <c r="N18" s="7" t="str">
        <f aca="false">IF(OR(I18="",NOT(ISNUMBER(I18))),"","Q"&amp;INT((MONTH(I18)-1)/3+1)&amp;" "&amp;YEAR(I18))</f>
        <v/>
      </c>
      <c r="O18" s="7"/>
      <c r="P18" s="7"/>
      <c r="Q18" s="7"/>
      <c r="R18" s="7"/>
    </row>
    <row r="19" customFormat="false" ht="39.75" hidden="false" customHeight="true" outlineLevel="0" collapsed="false">
      <c r="A19" s="4" t="str">
        <f aca="false">IF(B19="","",ROW()-2)</f>
        <v/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 t="str">
        <f aca="false">IF(OR(G19="",NOT(ISNUMBER(G19))),"","Q"&amp;INT((MONTH(G19)-1)/3+1)&amp;" "&amp;YEAR(G19))</f>
        <v/>
      </c>
      <c r="N19" s="4" t="str">
        <f aca="false">IF(OR(I19="",NOT(ISNUMBER(I19))),"","Q"&amp;INT((MONTH(I19)-1)/3+1)&amp;" "&amp;YEAR(I19))</f>
        <v/>
      </c>
      <c r="O19" s="4"/>
      <c r="P19" s="4"/>
      <c r="Q19" s="4"/>
      <c r="R19" s="4"/>
    </row>
    <row r="20" customFormat="false" ht="39.75" hidden="false" customHeight="true" outlineLevel="0" collapsed="false">
      <c r="A20" s="7" t="str">
        <f aca="false">IF(B20="","",ROW()-2)</f>
        <v/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 t="str">
        <f aca="false">IF(OR(G20="",NOT(ISNUMBER(G20))),"","Q"&amp;INT((MONTH(G20)-1)/3+1)&amp;" "&amp;YEAR(G20))</f>
        <v/>
      </c>
      <c r="N20" s="7" t="str">
        <f aca="false">IF(OR(I20="",NOT(ISNUMBER(I20))),"","Q"&amp;INT((MONTH(I20)-1)/3+1)&amp;" "&amp;YEAR(I20))</f>
        <v/>
      </c>
      <c r="O20" s="7"/>
      <c r="P20" s="7"/>
      <c r="Q20" s="7"/>
      <c r="R20" s="7"/>
    </row>
    <row r="21" customFormat="false" ht="39.75" hidden="false" customHeight="true" outlineLevel="0" collapsed="false">
      <c r="A21" s="4" t="str">
        <f aca="false">IF(B21="","",ROW()-2)</f>
        <v/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 t="str">
        <f aca="false">IF(OR(G21="",NOT(ISNUMBER(G21))),"","Q"&amp;INT((MONTH(G21)-1)/3+1)&amp;" "&amp;YEAR(G21))</f>
        <v/>
      </c>
      <c r="N21" s="4" t="str">
        <f aca="false">IF(OR(I21="",NOT(ISNUMBER(I21))),"","Q"&amp;INT((MONTH(I21)-1)/3+1)&amp;" "&amp;YEAR(I21))</f>
        <v/>
      </c>
      <c r="O21" s="4"/>
      <c r="P21" s="4"/>
      <c r="Q21" s="4"/>
      <c r="R21" s="4"/>
    </row>
    <row r="22" customFormat="false" ht="39.75" hidden="false" customHeight="true" outlineLevel="0" collapsed="false">
      <c r="A22" s="7" t="str">
        <f aca="false">IF(B22="","",ROW()-2)</f>
        <v/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 t="str">
        <f aca="false">IF(OR(G22="",NOT(ISNUMBER(G22))),"","Q"&amp;INT((MONTH(G22)-1)/3+1)&amp;" "&amp;YEAR(G22))</f>
        <v/>
      </c>
      <c r="N22" s="7" t="str">
        <f aca="false">IF(OR(I22="",NOT(ISNUMBER(I22))),"","Q"&amp;INT((MONTH(I22)-1)/3+1)&amp;" "&amp;YEAR(I22))</f>
        <v/>
      </c>
      <c r="O22" s="7"/>
      <c r="P22" s="7"/>
      <c r="Q22" s="7"/>
      <c r="R22" s="7"/>
    </row>
    <row r="23" customFormat="false" ht="39.75" hidden="false" customHeight="true" outlineLevel="0" collapsed="false">
      <c r="A23" s="4" t="str">
        <f aca="false">IF(B23="","",ROW()-2)</f>
        <v/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 t="str">
        <f aca="false">IF(OR(G23="",NOT(ISNUMBER(G23))),"","Q"&amp;INT((MONTH(G23)-1)/3+1)&amp;" "&amp;YEAR(G23))</f>
        <v/>
      </c>
      <c r="N23" s="4" t="str">
        <f aca="false">IF(OR(I23="",NOT(ISNUMBER(I23))),"","Q"&amp;INT((MONTH(I23)-1)/3+1)&amp;" "&amp;YEAR(I23))</f>
        <v/>
      </c>
      <c r="O23" s="4"/>
      <c r="P23" s="4"/>
      <c r="Q23" s="4"/>
      <c r="R23" s="4"/>
    </row>
    <row r="24" customFormat="false" ht="39.75" hidden="false" customHeight="true" outlineLevel="0" collapsed="false">
      <c r="A24" s="7" t="str">
        <f aca="false">IF(B24="","",ROW()-2)</f>
        <v/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 t="str">
        <f aca="false">IF(OR(G24="",NOT(ISNUMBER(G24))),"","Q"&amp;INT((MONTH(G24)-1)/3+1)&amp;" "&amp;YEAR(G24))</f>
        <v/>
      </c>
      <c r="N24" s="7" t="str">
        <f aca="false">IF(OR(I24="",NOT(ISNUMBER(I24))),"","Q"&amp;INT((MONTH(I24)-1)/3+1)&amp;" "&amp;YEAR(I24))</f>
        <v/>
      </c>
      <c r="O24" s="7"/>
      <c r="P24" s="7"/>
      <c r="Q24" s="7"/>
      <c r="R24" s="7"/>
    </row>
    <row r="25" customFormat="false" ht="39.75" hidden="false" customHeight="true" outlineLevel="0" collapsed="false">
      <c r="A25" s="4" t="str">
        <f aca="false">IF(B25="","",ROW()-2)</f>
        <v/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 t="str">
        <f aca="false">IF(OR(G25="",NOT(ISNUMBER(G25))),"","Q"&amp;INT((MONTH(G25)-1)/3+1)&amp;" "&amp;YEAR(G25))</f>
        <v/>
      </c>
      <c r="N25" s="4" t="str">
        <f aca="false">IF(OR(I25="",NOT(ISNUMBER(I25))),"","Q"&amp;INT((MONTH(I25)-1)/3+1)&amp;" "&amp;YEAR(I25))</f>
        <v/>
      </c>
      <c r="O25" s="4"/>
      <c r="P25" s="4"/>
      <c r="Q25" s="4"/>
      <c r="R25" s="4"/>
    </row>
    <row r="26" customFormat="false" ht="39.75" hidden="false" customHeight="true" outlineLevel="0" collapsed="false">
      <c r="A26" s="7" t="str">
        <f aca="false">IF(B26="","",ROW()-2)</f>
        <v/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 t="str">
        <f aca="false">IF(OR(G26="",NOT(ISNUMBER(G26))),"","Q"&amp;INT((MONTH(G26)-1)/3+1)&amp;" "&amp;YEAR(G26))</f>
        <v/>
      </c>
      <c r="N26" s="7" t="str">
        <f aca="false">IF(OR(I26="",NOT(ISNUMBER(I26))),"","Q"&amp;INT((MONTH(I26)-1)/3+1)&amp;" "&amp;YEAR(I26))</f>
        <v/>
      </c>
      <c r="O26" s="7"/>
      <c r="P26" s="7"/>
      <c r="Q26" s="7"/>
      <c r="R26" s="7"/>
    </row>
    <row r="27" customFormat="false" ht="39.75" hidden="false" customHeight="true" outlineLevel="0" collapsed="false">
      <c r="A27" s="4" t="str">
        <f aca="false">IF(B27="","",ROW()-2)</f>
        <v/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 t="str">
        <f aca="false">IF(OR(G27="",NOT(ISNUMBER(G27))),"","Q"&amp;INT((MONTH(G27)-1)/3+1)&amp;" "&amp;YEAR(G27))</f>
        <v/>
      </c>
      <c r="N27" s="4" t="str">
        <f aca="false">IF(OR(I27="",NOT(ISNUMBER(I27))),"","Q"&amp;INT((MONTH(I27)-1)/3+1)&amp;" "&amp;YEAR(I27))</f>
        <v/>
      </c>
      <c r="O27" s="4"/>
      <c r="P27" s="4"/>
      <c r="Q27" s="4"/>
      <c r="R27" s="4"/>
    </row>
    <row r="28" customFormat="false" ht="39.75" hidden="false" customHeight="true" outlineLevel="0" collapsed="false">
      <c r="A28" s="7" t="str">
        <f aca="false">IF(B28="","",ROW()-2)</f>
        <v/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 t="str">
        <f aca="false">IF(OR(G28="",NOT(ISNUMBER(G28))),"","Q"&amp;INT((MONTH(G28)-1)/3+1)&amp;" "&amp;YEAR(G28))</f>
        <v/>
      </c>
      <c r="N28" s="7" t="str">
        <f aca="false">IF(OR(I28="",NOT(ISNUMBER(I28))),"","Q"&amp;INT((MONTH(I28)-1)/3+1)&amp;" "&amp;YEAR(I28))</f>
        <v/>
      </c>
      <c r="O28" s="7"/>
      <c r="P28" s="7"/>
      <c r="Q28" s="7"/>
      <c r="R28" s="7"/>
    </row>
    <row r="29" customFormat="false" ht="39.75" hidden="false" customHeight="true" outlineLevel="0" collapsed="false">
      <c r="A29" s="4" t="str">
        <f aca="false">IF(B29="","",ROW()-2)</f>
        <v/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 t="str">
        <f aca="false">IF(OR(G29="",NOT(ISNUMBER(G29))),"","Q"&amp;INT((MONTH(G29)-1)/3+1)&amp;" "&amp;YEAR(G29))</f>
        <v/>
      </c>
      <c r="N29" s="4" t="str">
        <f aca="false">IF(OR(I29="",NOT(ISNUMBER(I29))),"","Q"&amp;INT((MONTH(I29)-1)/3+1)&amp;" "&amp;YEAR(I29))</f>
        <v/>
      </c>
      <c r="O29" s="4"/>
      <c r="P29" s="4"/>
      <c r="Q29" s="4"/>
      <c r="R29" s="4"/>
    </row>
    <row r="30" customFormat="false" ht="39.75" hidden="false" customHeight="true" outlineLevel="0" collapsed="false">
      <c r="A30" s="7" t="str">
        <f aca="false">IF(B30="","",ROW()-2)</f>
        <v/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 t="str">
        <f aca="false">IF(OR(G30="",NOT(ISNUMBER(G30))),"","Q"&amp;INT((MONTH(G30)-1)/3+1)&amp;" "&amp;YEAR(G30))</f>
        <v/>
      </c>
      <c r="N30" s="7" t="str">
        <f aca="false">IF(OR(I30="",NOT(ISNUMBER(I30))),"","Q"&amp;INT((MONTH(I30)-1)/3+1)&amp;" "&amp;YEAR(I30))</f>
        <v/>
      </c>
      <c r="O30" s="7"/>
      <c r="P30" s="7"/>
      <c r="Q30" s="7"/>
      <c r="R30" s="7"/>
    </row>
    <row r="31" customFormat="false" ht="39.75" hidden="false" customHeight="true" outlineLevel="0" collapsed="false">
      <c r="A31" s="4" t="str">
        <f aca="false">IF(B31="","",ROW()-2)</f>
        <v/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 t="str">
        <f aca="false">IF(OR(G31="",NOT(ISNUMBER(G31))),"","Q"&amp;INT((MONTH(G31)-1)/3+1)&amp;" "&amp;YEAR(G31))</f>
        <v/>
      </c>
      <c r="N31" s="4" t="str">
        <f aca="false">IF(OR(I31="",NOT(ISNUMBER(I31))),"","Q"&amp;INT((MONTH(I31)-1)/3+1)&amp;" "&amp;YEAR(I31))</f>
        <v/>
      </c>
      <c r="O31" s="4"/>
      <c r="P31" s="4"/>
      <c r="Q31" s="4"/>
      <c r="R31" s="4"/>
    </row>
    <row r="32" customFormat="false" ht="39.75" hidden="false" customHeight="true" outlineLevel="0" collapsed="false">
      <c r="A32" s="7" t="str">
        <f aca="false">IF(B32="","",ROW()-2)</f>
        <v/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 t="str">
        <f aca="false">IF(OR(G32="",NOT(ISNUMBER(G32))),"","Q"&amp;INT((MONTH(G32)-1)/3+1)&amp;" "&amp;YEAR(G32))</f>
        <v/>
      </c>
      <c r="N32" s="7" t="str">
        <f aca="false">IF(OR(I32="",NOT(ISNUMBER(I32))),"","Q"&amp;INT((MONTH(I32)-1)/3+1)&amp;" "&amp;YEAR(I32))</f>
        <v/>
      </c>
      <c r="O32" s="7"/>
      <c r="P32" s="7"/>
      <c r="Q32" s="7"/>
      <c r="R32" s="7"/>
    </row>
    <row r="33" customFormat="false" ht="39.75" hidden="false" customHeight="true" outlineLevel="0" collapsed="false">
      <c r="A33" s="4" t="str">
        <f aca="false">IF(B33="","",ROW()-2)</f>
        <v/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 t="str">
        <f aca="false">IF(OR(G33="",NOT(ISNUMBER(G33))),"","Q"&amp;INT((MONTH(G33)-1)/3+1)&amp;" "&amp;YEAR(G33))</f>
        <v/>
      </c>
      <c r="N33" s="4" t="str">
        <f aca="false">IF(OR(I33="",NOT(ISNUMBER(I33))),"","Q"&amp;INT((MONTH(I33)-1)/3+1)&amp;" "&amp;YEAR(I33))</f>
        <v/>
      </c>
      <c r="O33" s="4"/>
      <c r="P33" s="4"/>
      <c r="Q33" s="4"/>
      <c r="R33" s="4"/>
    </row>
    <row r="34" customFormat="false" ht="39.75" hidden="false" customHeight="true" outlineLevel="0" collapsed="false">
      <c r="A34" s="7" t="str">
        <f aca="false">IF(B34="","",ROW()-2)</f>
        <v/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 t="str">
        <f aca="false">IF(OR(G34="",NOT(ISNUMBER(G34))),"","Q"&amp;INT((MONTH(G34)-1)/3+1)&amp;" "&amp;YEAR(G34))</f>
        <v/>
      </c>
      <c r="N34" s="7" t="str">
        <f aca="false">IF(OR(I34="",NOT(ISNUMBER(I34))),"","Q"&amp;INT((MONTH(I34)-1)/3+1)&amp;" "&amp;YEAR(I34))</f>
        <v/>
      </c>
      <c r="O34" s="7"/>
      <c r="P34" s="7"/>
      <c r="Q34" s="7"/>
      <c r="R34" s="7"/>
    </row>
    <row r="35" customFormat="false" ht="39.75" hidden="false" customHeight="true" outlineLevel="0" collapsed="false">
      <c r="A35" s="4" t="str">
        <f aca="false">IF(B35="","",ROW()-2)</f>
        <v/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 t="str">
        <f aca="false">IF(OR(G35="",NOT(ISNUMBER(G35))),"","Q"&amp;INT((MONTH(G35)-1)/3+1)&amp;" "&amp;YEAR(G35))</f>
        <v/>
      </c>
      <c r="N35" s="4" t="str">
        <f aca="false">IF(OR(I35="",NOT(ISNUMBER(I35))),"","Q"&amp;INT((MONTH(I35)-1)/3+1)&amp;" "&amp;YEAR(I35))</f>
        <v/>
      </c>
      <c r="O35" s="4"/>
      <c r="P35" s="4"/>
      <c r="Q35" s="4"/>
      <c r="R35" s="4"/>
    </row>
    <row r="36" customFormat="false" ht="39.75" hidden="false" customHeight="true" outlineLevel="0" collapsed="false">
      <c r="A36" s="7" t="str">
        <f aca="false">IF(B36="","",ROW()-2)</f>
        <v/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 t="str">
        <f aca="false">IF(OR(G36="",NOT(ISNUMBER(G36))),"","Q"&amp;INT((MONTH(G36)-1)/3+1)&amp;" "&amp;YEAR(G36))</f>
        <v/>
      </c>
      <c r="N36" s="7" t="str">
        <f aca="false">IF(OR(I36="",NOT(ISNUMBER(I36))),"","Q"&amp;INT((MONTH(I36)-1)/3+1)&amp;" "&amp;YEAR(I36))</f>
        <v/>
      </c>
      <c r="O36" s="7"/>
      <c r="P36" s="7"/>
      <c r="Q36" s="7"/>
      <c r="R36" s="7"/>
    </row>
    <row r="37" customFormat="false" ht="39.75" hidden="false" customHeight="true" outlineLevel="0" collapsed="false">
      <c r="A37" s="4" t="str">
        <f aca="false">IF(B37="","",ROW()-2)</f>
        <v/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 t="str">
        <f aca="false">IF(OR(G37="",NOT(ISNUMBER(G37))),"","Q"&amp;INT((MONTH(G37)-1)/3+1)&amp;" "&amp;YEAR(G37))</f>
        <v/>
      </c>
      <c r="N37" s="4" t="str">
        <f aca="false">IF(OR(I37="",NOT(ISNUMBER(I37))),"","Q"&amp;INT((MONTH(I37)-1)/3+1)&amp;" "&amp;YEAR(I37))</f>
        <v/>
      </c>
      <c r="O37" s="4"/>
      <c r="P37" s="4"/>
      <c r="Q37" s="4"/>
      <c r="R37" s="4"/>
    </row>
    <row r="38" customFormat="false" ht="39.75" hidden="false" customHeight="true" outlineLevel="0" collapsed="false">
      <c r="A38" s="7" t="str">
        <f aca="false">IF(B38="","",ROW()-2)</f>
        <v/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 t="str">
        <f aca="false">IF(OR(G38="",NOT(ISNUMBER(G38))),"","Q"&amp;INT((MONTH(G38)-1)/3+1)&amp;" "&amp;YEAR(G38))</f>
        <v/>
      </c>
      <c r="N38" s="7" t="str">
        <f aca="false">IF(OR(I38="",NOT(ISNUMBER(I38))),"","Q"&amp;INT((MONTH(I38)-1)/3+1)&amp;" "&amp;YEAR(I38))</f>
        <v/>
      </c>
      <c r="O38" s="7"/>
      <c r="P38" s="7"/>
      <c r="Q38" s="7"/>
      <c r="R38" s="7"/>
    </row>
    <row r="39" customFormat="false" ht="39.75" hidden="false" customHeight="true" outlineLevel="0" collapsed="false">
      <c r="A39" s="4" t="str">
        <f aca="false">IF(B39="","",ROW()-2)</f>
        <v/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 t="str">
        <f aca="false">IF(OR(G39="",NOT(ISNUMBER(G39))),"","Q"&amp;INT((MONTH(G39)-1)/3+1)&amp;" "&amp;YEAR(G39))</f>
        <v/>
      </c>
      <c r="N39" s="4" t="str">
        <f aca="false">IF(OR(I39="",NOT(ISNUMBER(I39))),"","Q"&amp;INT((MONTH(I39)-1)/3+1)&amp;" "&amp;YEAR(I39))</f>
        <v/>
      </c>
      <c r="O39" s="4"/>
      <c r="P39" s="4"/>
      <c r="Q39" s="4"/>
      <c r="R39" s="4"/>
    </row>
    <row r="40" customFormat="false" ht="39.75" hidden="false" customHeight="true" outlineLevel="0" collapsed="false">
      <c r="A40" s="7" t="str">
        <f aca="false">IF(B40="","",ROW()-2)</f>
        <v/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 t="str">
        <f aca="false">IF(OR(G40="",NOT(ISNUMBER(G40))),"","Q"&amp;INT((MONTH(G40)-1)/3+1)&amp;" "&amp;YEAR(G40))</f>
        <v/>
      </c>
      <c r="N40" s="7" t="str">
        <f aca="false">IF(OR(I40="",NOT(ISNUMBER(I40))),"","Q"&amp;INT((MONTH(I40)-1)/3+1)&amp;" "&amp;YEAR(I40))</f>
        <v/>
      </c>
      <c r="O40" s="7"/>
      <c r="P40" s="7"/>
      <c r="Q40" s="7"/>
      <c r="R40" s="7"/>
    </row>
    <row r="41" customFormat="false" ht="39.75" hidden="false" customHeight="true" outlineLevel="0" collapsed="false">
      <c r="A41" s="4" t="str">
        <f aca="false">IF(B41="","",ROW()-2)</f>
        <v/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 t="str">
        <f aca="false">IF(OR(G41="",NOT(ISNUMBER(G41))),"","Q"&amp;INT((MONTH(G41)-1)/3+1)&amp;" "&amp;YEAR(G41))</f>
        <v/>
      </c>
      <c r="N41" s="4" t="str">
        <f aca="false">IF(OR(I41="",NOT(ISNUMBER(I41))),"","Q"&amp;INT((MONTH(I41)-1)/3+1)&amp;" "&amp;YEAR(I41))</f>
        <v/>
      </c>
      <c r="O41" s="4"/>
      <c r="P41" s="4"/>
      <c r="Q41" s="4"/>
      <c r="R41" s="4"/>
    </row>
    <row r="42" customFormat="false" ht="39.75" hidden="false" customHeight="true" outlineLevel="0" collapsed="false">
      <c r="A42" s="7" t="str">
        <f aca="false">IF(B42="","",ROW()-2)</f>
        <v/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 t="str">
        <f aca="false">IF(OR(G42="",NOT(ISNUMBER(G42))),"","Q"&amp;INT((MONTH(G42)-1)/3+1)&amp;" "&amp;YEAR(G42))</f>
        <v/>
      </c>
      <c r="N42" s="7" t="str">
        <f aca="false">IF(OR(I42="",NOT(ISNUMBER(I42))),"","Q"&amp;INT((MONTH(I42)-1)/3+1)&amp;" "&amp;YEAR(I42))</f>
        <v/>
      </c>
      <c r="O42" s="7"/>
      <c r="P42" s="7"/>
      <c r="Q42" s="7"/>
      <c r="R42" s="7"/>
    </row>
    <row r="43" customFormat="false" ht="39.75" hidden="false" customHeight="true" outlineLevel="0" collapsed="false">
      <c r="A43" s="4" t="str">
        <f aca="false">IF(B43="","",ROW()-2)</f>
        <v/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 t="str">
        <f aca="false">IF(OR(G43="",NOT(ISNUMBER(G43))),"","Q"&amp;INT((MONTH(G43)-1)/3+1)&amp;" "&amp;YEAR(G43))</f>
        <v/>
      </c>
      <c r="N43" s="4" t="str">
        <f aca="false">IF(OR(I43="",NOT(ISNUMBER(I43))),"","Q"&amp;INT((MONTH(I43)-1)/3+1)&amp;" "&amp;YEAR(I43))</f>
        <v/>
      </c>
      <c r="O43" s="4"/>
      <c r="P43" s="4"/>
      <c r="Q43" s="4"/>
      <c r="R43" s="4"/>
    </row>
    <row r="44" customFormat="false" ht="39.75" hidden="false" customHeight="true" outlineLevel="0" collapsed="false">
      <c r="A44" s="7" t="str">
        <f aca="false">IF(B44="","",ROW()-2)</f>
        <v/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 t="str">
        <f aca="false">IF(OR(G44="",NOT(ISNUMBER(G44))),"","Q"&amp;INT((MONTH(G44)-1)/3+1)&amp;" "&amp;YEAR(G44))</f>
        <v/>
      </c>
      <c r="N44" s="7" t="str">
        <f aca="false">IF(OR(I44="",NOT(ISNUMBER(I44))),"","Q"&amp;INT((MONTH(I44)-1)/3+1)&amp;" "&amp;YEAR(I44))</f>
        <v/>
      </c>
      <c r="O44" s="7"/>
      <c r="P44" s="7"/>
      <c r="Q44" s="7"/>
      <c r="R44" s="7"/>
    </row>
    <row r="45" customFormat="false" ht="39.75" hidden="false" customHeight="true" outlineLevel="0" collapsed="false">
      <c r="A45" s="4" t="str">
        <f aca="false">IF(B45="","",ROW()-2)</f>
        <v/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 t="str">
        <f aca="false">IF(OR(G45="",NOT(ISNUMBER(G45))),"","Q"&amp;INT((MONTH(G45)-1)/3+1)&amp;" "&amp;YEAR(G45))</f>
        <v/>
      </c>
      <c r="N45" s="4" t="str">
        <f aca="false">IF(OR(I45="",NOT(ISNUMBER(I45))),"","Q"&amp;INT((MONTH(I45)-1)/3+1)&amp;" "&amp;YEAR(I45))</f>
        <v/>
      </c>
      <c r="O45" s="4"/>
      <c r="P45" s="4"/>
      <c r="Q45" s="4"/>
      <c r="R45" s="4"/>
    </row>
    <row r="46" customFormat="false" ht="39.75" hidden="false" customHeight="true" outlineLevel="0" collapsed="false">
      <c r="A46" s="7" t="str">
        <f aca="false">IF(B46="","",ROW()-2)</f>
        <v/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 t="str">
        <f aca="false">IF(OR(G46="",NOT(ISNUMBER(G46))),"","Q"&amp;INT((MONTH(G46)-1)/3+1)&amp;" "&amp;YEAR(G46))</f>
        <v/>
      </c>
      <c r="N46" s="7" t="str">
        <f aca="false">IF(OR(I46="",NOT(ISNUMBER(I46))),"","Q"&amp;INT((MONTH(I46)-1)/3+1)&amp;" "&amp;YEAR(I46))</f>
        <v/>
      </c>
      <c r="O46" s="7"/>
      <c r="P46" s="7"/>
      <c r="Q46" s="7"/>
      <c r="R46" s="7"/>
    </row>
    <row r="47" customFormat="false" ht="39.75" hidden="false" customHeight="true" outlineLevel="0" collapsed="false">
      <c r="A47" s="4" t="str">
        <f aca="false">IF(B47="","",ROW()-2)</f>
        <v/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 t="str">
        <f aca="false">IF(OR(G47="",NOT(ISNUMBER(G47))),"","Q"&amp;INT((MONTH(G47)-1)/3+1)&amp;" "&amp;YEAR(G47))</f>
        <v/>
      </c>
      <c r="N47" s="4" t="str">
        <f aca="false">IF(OR(I47="",NOT(ISNUMBER(I47))),"","Q"&amp;INT((MONTH(I47)-1)/3+1)&amp;" "&amp;YEAR(I47))</f>
        <v/>
      </c>
      <c r="O47" s="4"/>
      <c r="P47" s="4"/>
      <c r="Q47" s="4"/>
      <c r="R47" s="4"/>
    </row>
    <row r="48" customFormat="false" ht="39.75" hidden="false" customHeight="true" outlineLevel="0" collapsed="false">
      <c r="A48" s="7" t="str">
        <f aca="false">IF(B48="","",ROW()-2)</f>
        <v/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 t="str">
        <f aca="false">IF(OR(G48="",NOT(ISNUMBER(G48))),"","Q"&amp;INT((MONTH(G48)-1)/3+1)&amp;" "&amp;YEAR(G48))</f>
        <v/>
      </c>
      <c r="N48" s="7" t="str">
        <f aca="false">IF(OR(I48="",NOT(ISNUMBER(I48))),"","Q"&amp;INT((MONTH(I48)-1)/3+1)&amp;" "&amp;YEAR(I48))</f>
        <v/>
      </c>
      <c r="O48" s="7"/>
      <c r="P48" s="7"/>
      <c r="Q48" s="7"/>
      <c r="R48" s="7"/>
    </row>
    <row r="49" customFormat="false" ht="39.75" hidden="false" customHeight="true" outlineLevel="0" collapsed="false">
      <c r="A49" s="4" t="str">
        <f aca="false">IF(B49="","",ROW()-2)</f>
        <v/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 t="str">
        <f aca="false">IF(OR(G49="",NOT(ISNUMBER(G49))),"","Q"&amp;INT((MONTH(G49)-1)/3+1)&amp;" "&amp;YEAR(G49))</f>
        <v/>
      </c>
      <c r="N49" s="4" t="str">
        <f aca="false">IF(OR(I49="",NOT(ISNUMBER(I49))),"","Q"&amp;INT((MONTH(I49)-1)/3+1)&amp;" "&amp;YEAR(I49))</f>
        <v/>
      </c>
      <c r="O49" s="4"/>
      <c r="P49" s="4"/>
      <c r="Q49" s="4"/>
      <c r="R49" s="4"/>
    </row>
    <row r="50" customFormat="false" ht="39.75" hidden="false" customHeight="true" outlineLevel="0" collapsed="false">
      <c r="A50" s="7" t="str">
        <f aca="false">IF(B50="","",ROW()-2)</f>
        <v/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 t="str">
        <f aca="false">IF(OR(G50="",NOT(ISNUMBER(G50))),"","Q"&amp;INT((MONTH(G50)-1)/3+1)&amp;" "&amp;YEAR(G50))</f>
        <v/>
      </c>
      <c r="N50" s="7" t="str">
        <f aca="false">IF(OR(I50="",NOT(ISNUMBER(I50))),"","Q"&amp;INT((MONTH(I50)-1)/3+1)&amp;" "&amp;YEAR(I50))</f>
        <v/>
      </c>
      <c r="O50" s="7"/>
      <c r="P50" s="7"/>
      <c r="Q50" s="7"/>
      <c r="R50" s="7"/>
    </row>
    <row r="51" customFormat="false" ht="39.75" hidden="false" customHeight="true" outlineLevel="0" collapsed="false">
      <c r="A51" s="4" t="str">
        <f aca="false">IF(B51="","",ROW()-2)</f>
        <v/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 t="str">
        <f aca="false">IF(OR(G51="",NOT(ISNUMBER(G51))),"","Q"&amp;INT((MONTH(G51)-1)/3+1)&amp;" "&amp;YEAR(G51))</f>
        <v/>
      </c>
      <c r="N51" s="4" t="str">
        <f aca="false">IF(OR(I51="",NOT(ISNUMBER(I51))),"","Q"&amp;INT((MONTH(I51)-1)/3+1)&amp;" "&amp;YEAR(I51))</f>
        <v/>
      </c>
      <c r="O51" s="4"/>
      <c r="P51" s="4"/>
      <c r="Q51" s="4"/>
      <c r="R51" s="4"/>
    </row>
    <row r="52" customFormat="false" ht="39.75" hidden="false" customHeight="true" outlineLevel="0" collapsed="false">
      <c r="A52" s="7" t="str">
        <f aca="false">IF(B52="","",ROW()-2)</f>
        <v/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 t="str">
        <f aca="false">IF(OR(G52="",NOT(ISNUMBER(G52))),"","Q"&amp;INT((MONTH(G52)-1)/3+1)&amp;" "&amp;YEAR(G52))</f>
        <v/>
      </c>
      <c r="N52" s="7" t="str">
        <f aca="false">IF(OR(I52="",NOT(ISNUMBER(I52))),"","Q"&amp;INT((MONTH(I52)-1)/3+1)&amp;" "&amp;YEAR(I52))</f>
        <v/>
      </c>
      <c r="O52" s="7"/>
      <c r="P52" s="7"/>
      <c r="Q52" s="7"/>
      <c r="R52" s="7"/>
    </row>
    <row r="53" customFormat="false" ht="39.75" hidden="false" customHeight="true" outlineLevel="0" collapsed="false">
      <c r="A53" s="4" t="str">
        <f aca="false">IF(B53="","",ROW()-2)</f>
        <v/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 t="str">
        <f aca="false">IF(OR(G53="",NOT(ISNUMBER(G53))),"","Q"&amp;INT((MONTH(G53)-1)/3+1)&amp;" "&amp;YEAR(G53))</f>
        <v/>
      </c>
      <c r="N53" s="4" t="str">
        <f aca="false">IF(OR(I53="",NOT(ISNUMBER(I53))),"","Q"&amp;INT((MONTH(I53)-1)/3+1)&amp;" "&amp;YEAR(I53))</f>
        <v/>
      </c>
      <c r="O53" s="4"/>
      <c r="P53" s="4"/>
      <c r="Q53" s="4"/>
      <c r="R53" s="4"/>
    </row>
  </sheetData>
  <mergeCells count="1">
    <mergeCell ref="A1:R1"/>
  </mergeCells>
  <conditionalFormatting sqref="A3:R200">
    <cfRule type="expression" priority="2" aboveAverage="0" equalAverage="0" bottom="0" percent="0" rank="0" text="" dxfId="0">
      <formula>$J3="Выполнена"</formula>
    </cfRule>
    <cfRule type="expression" priority="3" aboveAverage="0" equalAverage="0" bottom="0" percent="0" rank="0" text="" dxfId="1">
      <formula>$J3="В работе"</formula>
    </cfRule>
    <cfRule type="expression" priority="4" aboveAverage="0" equalAverage="0" bottom="0" percent="0" rank="0" text="" dxfId="2">
      <formula>$J3="В ожидании"</formula>
    </cfRule>
    <cfRule type="expression" priority="5" aboveAverage="0" equalAverage="0" bottom="0" percent="0" rank="0" text="" dxfId="3">
      <formula>$J3="Отменена"</formula>
    </cfRule>
    <cfRule type="expression" priority="6" aboveAverage="0" equalAverage="0" bottom="0" percent="0" rank="0" text="" dxfId="4">
      <formula>$J3="В бэклоге"</formula>
    </cfRule>
    <cfRule type="expression" priority="7" aboveAverage="0" equalAverage="0" bottom="0" percent="0" rank="0" text="" dxfId="5">
      <formula>$J3="На согласовании"</formula>
    </cfRule>
    <cfRule type="expression" priority="8" aboveAverage="0" equalAverage="0" bottom="0" percent="0" rank="0" text="" dxfId="6">
      <formula>$J3="Перенесена"</formula>
    </cfRule>
  </conditionalFormatting>
  <dataValidations count="2">
    <dataValidation allowBlank="true" error="Выберите значение из списка." errorStyle="stop" errorTitle="Неверный статус" operator="between" showDropDown="false" showErrorMessage="true" showInputMessage="false" sqref="J3:J200" type="list">
      <formula1>"Выполнена,В работе,В ожидании,Отменена,В бэклоге,На согласовании,Перенесена"</formula1>
      <formula2>0</formula2>
    </dataValidation>
    <dataValidation allowBlank="true" errorStyle="stop" operator="between" showDropDown="false" showErrorMessage="false" showInputMessage="false" sqref="K3:K200" type="list">
      <formula1>"Высокий,Средний,Низкий"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4"/>
    <col collapsed="false" customWidth="true" hidden="false" outlineLevel="0" max="7" min="6" style="1" width="16"/>
  </cols>
  <sheetData>
    <row r="1" customFormat="false" ht="31.5" hidden="false" customHeight="true" outlineLevel="0" collapsed="false">
      <c r="A1" s="2" t="s">
        <v>29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8" t="s">
        <v>30</v>
      </c>
      <c r="B2" s="8"/>
      <c r="C2" s="8"/>
      <c r="D2" s="8"/>
      <c r="E2" s="8"/>
      <c r="F2" s="8"/>
      <c r="G2" s="8"/>
    </row>
    <row r="4" customFormat="false" ht="24" hidden="false" customHeight="true" outlineLevel="0" collapsed="false">
      <c r="A4" s="9" t="s">
        <v>31</v>
      </c>
      <c r="B4" s="10" t="s">
        <v>32</v>
      </c>
    </row>
    <row r="6" customFormat="false" ht="24" hidden="false" customHeight="true" outlineLevel="0" collapsed="false">
      <c r="A6" s="11" t="s">
        <v>33</v>
      </c>
      <c r="B6" s="11"/>
      <c r="C6" s="11"/>
      <c r="D6" s="11"/>
      <c r="E6" s="11"/>
      <c r="F6" s="11"/>
      <c r="G6" s="11"/>
    </row>
    <row r="7" customFormat="false" ht="21.75" hidden="false" customHeight="true" outlineLevel="0" collapsed="false">
      <c r="A7" s="12" t="s">
        <v>34</v>
      </c>
      <c r="B7" s="13" t="n">
        <f aca="false">COUNTIF('📋 Задачи'!M3:M200,$B$4)</f>
        <v>1</v>
      </c>
    </row>
    <row r="8" customFormat="false" ht="21.75" hidden="false" customHeight="true" outlineLevel="0" collapsed="false">
      <c r="A8" s="12" t="s">
        <v>35</v>
      </c>
      <c r="B8" s="13" t="n">
        <f aca="false">COUNTIFS('📋 Задачи'!J3:J200,"Выполнена",'📋 Задачи'!N3:N200,$B$4)</f>
        <v>1</v>
      </c>
    </row>
    <row r="9" customFormat="false" ht="21.75" hidden="false" customHeight="true" outlineLevel="0" collapsed="false">
      <c r="A9" s="12" t="s">
        <v>36</v>
      </c>
      <c r="B9" s="14" t="n">
        <f aca="false">IFERROR(B8/B7,0)</f>
        <v>1</v>
      </c>
    </row>
    <row r="10" customFormat="false" ht="21.75" hidden="false" customHeight="true" outlineLevel="0" collapsed="false">
      <c r="A10" s="12" t="s">
        <v>37</v>
      </c>
      <c r="B10" s="13" t="n">
        <f aca="false">COUNTIFS('📋 Задачи'!J3:J200,"В работе",'📋 Задачи'!M3:M200,$B$4)</f>
        <v>0</v>
      </c>
    </row>
    <row r="11" customFormat="false" ht="21.75" hidden="false" customHeight="true" outlineLevel="0" collapsed="false">
      <c r="A11" s="12" t="s">
        <v>38</v>
      </c>
      <c r="B11" s="13" t="n">
        <f aca="false">COUNTIFS('📋 Задачи'!J3:J200,"В ожидании",'📋 Задачи'!M3:M200,$B$4)</f>
        <v>0</v>
      </c>
    </row>
    <row r="12" customFormat="false" ht="21.75" hidden="false" customHeight="true" outlineLevel="0" collapsed="false">
      <c r="A12" s="12" t="s">
        <v>39</v>
      </c>
      <c r="B12" s="13" t="n">
        <f aca="false">COUNTIFS('📋 Задачи'!J3:J200,"В бэклоге",'📋 Задачи'!M3:M200,$B$4)</f>
        <v>0</v>
      </c>
    </row>
    <row r="13" customFormat="false" ht="21.75" hidden="false" customHeight="true" outlineLevel="0" collapsed="false">
      <c r="A13" s="12" t="s">
        <v>40</v>
      </c>
      <c r="B13" s="13" t="n">
        <f aca="false">COUNTIFS('📋 Задачи'!J3:J200,"Отменена",'📋 Задачи'!M3:M200,$B$4)</f>
        <v>0</v>
      </c>
    </row>
    <row r="14" customFormat="false" ht="21.75" hidden="false" customHeight="true" outlineLevel="0" collapsed="false">
      <c r="A14" s="12" t="s">
        <v>41</v>
      </c>
      <c r="B14" s="13" t="n">
        <f aca="false">COUNTIFS('📋 Задачи'!J3:J200,"На согласовании",'📋 Задачи'!M3:M200,$B$4)</f>
        <v>0</v>
      </c>
    </row>
    <row r="15" customFormat="false" ht="21.75" hidden="false" customHeight="true" outlineLevel="0" collapsed="false">
      <c r="A15" s="12" t="s">
        <v>42</v>
      </c>
      <c r="B15" s="13" t="n">
        <f aca="false">COUNTIFS('📋 Задачи'!J3:J200,"Перенесена",'📋 Задачи'!M3:M200,$B$4)</f>
        <v>0</v>
      </c>
    </row>
    <row r="17" customFormat="false" ht="24" hidden="false" customHeight="true" outlineLevel="0" collapsed="false">
      <c r="A17" s="11" t="s">
        <v>43</v>
      </c>
      <c r="B17" s="11"/>
      <c r="C17" s="11"/>
      <c r="D17" s="11"/>
      <c r="E17" s="11"/>
      <c r="F17" s="11"/>
      <c r="G17" s="11"/>
    </row>
    <row r="18" customFormat="false" ht="19.5" hidden="false" customHeight="true" outlineLevel="0" collapsed="false">
      <c r="A18" s="15" t="s">
        <v>10</v>
      </c>
      <c r="B18" s="15" t="s">
        <v>44</v>
      </c>
      <c r="C18" s="15" t="s">
        <v>45</v>
      </c>
    </row>
    <row r="19" customFormat="false" ht="19.5" hidden="false" customHeight="true" outlineLevel="0" collapsed="false">
      <c r="A19" s="16" t="s">
        <v>23</v>
      </c>
      <c r="B19" s="17" t="n">
        <f aca="false">COUNTIFS('📋 Задачи'!J3:J200,"Выполнена",'📋 Задачи'!N3:N200,$B$4)</f>
        <v>1</v>
      </c>
      <c r="C19" s="18" t="n">
        <f aca="false">IFERROR(B19/SUM($B$19:$B$25),0)</f>
        <v>1</v>
      </c>
    </row>
    <row r="20" customFormat="false" ht="19.5" hidden="false" customHeight="true" outlineLevel="0" collapsed="false">
      <c r="A20" s="19" t="s">
        <v>46</v>
      </c>
      <c r="B20" s="17" t="n">
        <f aca="false">COUNTIFS('📋 Задачи'!J3:J200,"В работе",'📋 Задачи'!N3:N200,$B$4)</f>
        <v>0</v>
      </c>
      <c r="C20" s="18" t="n">
        <f aca="false">IFERROR(B20/SUM($B$19:$B$25),0)</f>
        <v>0</v>
      </c>
    </row>
    <row r="21" customFormat="false" ht="19.5" hidden="false" customHeight="true" outlineLevel="0" collapsed="false">
      <c r="A21" s="20" t="s">
        <v>47</v>
      </c>
      <c r="B21" s="17" t="n">
        <f aca="false">COUNTIFS('📋 Задачи'!J3:J200,"В ожидании",'📋 Задачи'!N3:N200,$B$4)</f>
        <v>0</v>
      </c>
      <c r="C21" s="18" t="n">
        <f aca="false">IFERROR(B21/SUM($B$19:$B$25),0)</f>
        <v>0</v>
      </c>
    </row>
    <row r="22" customFormat="false" ht="19.5" hidden="false" customHeight="true" outlineLevel="0" collapsed="false">
      <c r="A22" s="21" t="s">
        <v>48</v>
      </c>
      <c r="B22" s="17" t="n">
        <f aca="false">COUNTIFS('📋 Задачи'!J3:J200,"В бэклоге",'📋 Задачи'!N3:N200,$B$4)</f>
        <v>0</v>
      </c>
      <c r="C22" s="18" t="n">
        <f aca="false">IFERROR(B22/SUM($B$19:$B$25),0)</f>
        <v>0</v>
      </c>
    </row>
    <row r="23" customFormat="false" ht="19.5" hidden="false" customHeight="true" outlineLevel="0" collapsed="false">
      <c r="A23" s="22" t="s">
        <v>49</v>
      </c>
      <c r="B23" s="17" t="n">
        <f aca="false">COUNTIFS('📋 Задачи'!J3:J200,"Отменена",'📋 Задачи'!N3:N200,$B$4)</f>
        <v>0</v>
      </c>
      <c r="C23" s="18" t="n">
        <f aca="false">IFERROR(B23/SUM($B$19:$B$25),0)</f>
        <v>0</v>
      </c>
    </row>
    <row r="24" customFormat="false" ht="19.5" hidden="false" customHeight="true" outlineLevel="0" collapsed="false">
      <c r="A24" s="23" t="s">
        <v>41</v>
      </c>
      <c r="B24" s="17" t="n">
        <f aca="false">COUNTIFS('📋 Задачи'!J3:J200,"На согласовании",'📋 Задачи'!N3:N200,$B$4)</f>
        <v>0</v>
      </c>
      <c r="C24" s="18" t="n">
        <f aca="false">IFERROR(B24/SUM($B$19:$B$25),0)</f>
        <v>0</v>
      </c>
    </row>
    <row r="25" customFormat="false" ht="19.5" hidden="false" customHeight="true" outlineLevel="0" collapsed="false">
      <c r="A25" s="24" t="s">
        <v>50</v>
      </c>
      <c r="B25" s="17" t="n">
        <f aca="false">COUNTIFS('📋 Задачи'!J3:J200,"Перенесена",'📋 Задачи'!N3:N200,$B$4)</f>
        <v>0</v>
      </c>
      <c r="C25" s="18" t="n">
        <f aca="false">IFERROR(B25/SUM($B$19:$B$25),0)</f>
        <v>0</v>
      </c>
    </row>
    <row r="27" customFormat="false" ht="24" hidden="false" customHeight="true" outlineLevel="0" collapsed="false">
      <c r="A27" s="11" t="s">
        <v>51</v>
      </c>
      <c r="B27" s="11"/>
      <c r="C27" s="11"/>
      <c r="D27" s="11"/>
      <c r="E27" s="11"/>
      <c r="F27" s="11"/>
      <c r="G27" s="11"/>
    </row>
    <row r="28" customFormat="false" ht="19.5" hidden="false" customHeight="true" outlineLevel="0" collapsed="false">
      <c r="A28" s="15" t="s">
        <v>11</v>
      </c>
      <c r="B28" s="15" t="s">
        <v>52</v>
      </c>
      <c r="C28" s="15" t="s">
        <v>53</v>
      </c>
    </row>
    <row r="29" customFormat="false" ht="19.5" hidden="false" customHeight="true" outlineLevel="0" collapsed="false">
      <c r="A29" s="25" t="s">
        <v>24</v>
      </c>
      <c r="B29" s="17" t="n">
        <f aca="false">COUNTIFS('📋 Задачи'!J3:J200,"Выполнена",'📋 Задачи'!K3:K200,"Высокий",'📋 Задачи'!N3:N200,$B$4)</f>
        <v>1</v>
      </c>
      <c r="C29" s="18" t="n">
        <f aca="false">IFERROR(B29/B8,0)</f>
        <v>1</v>
      </c>
    </row>
    <row r="30" customFormat="false" ht="19.5" hidden="false" customHeight="true" outlineLevel="0" collapsed="false">
      <c r="A30" s="26" t="s">
        <v>54</v>
      </c>
      <c r="B30" s="17" t="n">
        <f aca="false">COUNTIFS('📋 Задачи'!J3:J200,"Выполнена",'📋 Задачи'!K3:K200,"Средний",'📋 Задачи'!N3:N200,$B$4)</f>
        <v>0</v>
      </c>
      <c r="C30" s="18" t="n">
        <f aca="false">IFERROR(B30/B8,0)</f>
        <v>0</v>
      </c>
    </row>
    <row r="31" customFormat="false" ht="19.5" hidden="false" customHeight="true" outlineLevel="0" collapsed="false">
      <c r="A31" s="27" t="s">
        <v>55</v>
      </c>
      <c r="B31" s="17" t="n">
        <f aca="false">COUNTIFS('📋 Задачи'!J3:J200,"Выполнена",'📋 Задачи'!K3:K200,"Низкий",'📋 Задачи'!N3:N200,$B$4)</f>
        <v>0</v>
      </c>
      <c r="C31" s="18" t="n">
        <f aca="false">IFERROR(B31/B8,0)</f>
        <v>0</v>
      </c>
    </row>
    <row r="33" customFormat="false" ht="24" hidden="false" customHeight="true" outlineLevel="0" collapsed="false">
      <c r="A33" s="11" t="s">
        <v>56</v>
      </c>
      <c r="B33" s="11"/>
      <c r="C33" s="11"/>
      <c r="D33" s="11"/>
      <c r="E33" s="11"/>
      <c r="F33" s="11"/>
      <c r="G33" s="11"/>
    </row>
    <row r="34" customFormat="false" ht="19.5" hidden="false" customHeight="true" outlineLevel="0" collapsed="false">
      <c r="A34" s="15" t="s">
        <v>57</v>
      </c>
      <c r="B34" s="15" t="s">
        <v>58</v>
      </c>
      <c r="C34" s="15" t="s">
        <v>52</v>
      </c>
      <c r="D34" s="15" t="s">
        <v>46</v>
      </c>
      <c r="E34" s="15" t="s">
        <v>59</v>
      </c>
      <c r="F34" s="15" t="s">
        <v>36</v>
      </c>
    </row>
    <row r="35" customFormat="false" ht="19.5" hidden="false" customHeight="true" outlineLevel="0" collapsed="false">
      <c r="A35" s="28" t="s">
        <v>60</v>
      </c>
      <c r="B35" s="28" t="n">
        <f aca="false">COUNTIF('📋 Задачи'!M3:M200,"Q1 2025")</f>
        <v>0</v>
      </c>
      <c r="C35" s="28" t="n">
        <f aca="false">COUNTIFS('📋 Задачи'!J3:J200,"Выполнена",'📋 Задачи'!N3:N200,"Q1 2025")</f>
        <v>0</v>
      </c>
      <c r="D35" s="28" t="n">
        <f aca="false">COUNTIFS('📋 Задачи'!J3:J200,"В работе",'📋 Задачи'!M3:M200,"Q1 2025")</f>
        <v>0</v>
      </c>
      <c r="E35" s="28" t="n">
        <f aca="false">COUNTIFS('📋 Задачи'!J3:J200,"Отменена",'📋 Задачи'!M3:M200,"Q1 2025")</f>
        <v>0</v>
      </c>
      <c r="F35" s="29" t="n">
        <f aca="false">IFERROR(C35/B35,0)</f>
        <v>0</v>
      </c>
    </row>
    <row r="36" customFormat="false" ht="19.5" hidden="false" customHeight="true" outlineLevel="0" collapsed="false">
      <c r="A36" s="30" t="s">
        <v>32</v>
      </c>
      <c r="B36" s="30" t="n">
        <f aca="false">COUNTIF('📋 Задачи'!M3:M200,"Q2 2025")</f>
        <v>1</v>
      </c>
      <c r="C36" s="30" t="n">
        <f aca="false">COUNTIFS('📋 Задачи'!J3:J200,"Выполнена",'📋 Задачи'!N3:N200,"Q2 2025")</f>
        <v>1</v>
      </c>
      <c r="D36" s="30" t="n">
        <f aca="false">COUNTIFS('📋 Задачи'!J3:J200,"В работе",'📋 Задачи'!M3:M200,"Q2 2025")</f>
        <v>0</v>
      </c>
      <c r="E36" s="30" t="n">
        <f aca="false">COUNTIFS('📋 Задачи'!J3:J200,"Отменена",'📋 Задачи'!M3:M200,"Q2 2025")</f>
        <v>0</v>
      </c>
      <c r="F36" s="31" t="n">
        <f aca="false">IFERROR(C36/B36,0)</f>
        <v>1</v>
      </c>
    </row>
    <row r="37" customFormat="false" ht="19.5" hidden="false" customHeight="true" outlineLevel="0" collapsed="false">
      <c r="A37" s="28" t="s">
        <v>61</v>
      </c>
      <c r="B37" s="28" t="n">
        <f aca="false">COUNTIF('📋 Задачи'!M3:M200,"Q3 2025")</f>
        <v>0</v>
      </c>
      <c r="C37" s="28" t="n">
        <f aca="false">COUNTIFS('📋 Задачи'!J3:J200,"Выполнена",'📋 Задачи'!N3:N200,"Q3 2025")</f>
        <v>0</v>
      </c>
      <c r="D37" s="28" t="n">
        <f aca="false">COUNTIFS('📋 Задачи'!J3:J200,"В работе",'📋 Задачи'!M3:M200,"Q3 2025")</f>
        <v>0</v>
      </c>
      <c r="E37" s="28" t="n">
        <f aca="false">COUNTIFS('📋 Задачи'!J3:J200,"Отменена",'📋 Задачи'!M3:M200,"Q3 2025")</f>
        <v>0</v>
      </c>
      <c r="F37" s="29" t="n">
        <f aca="false">IFERROR(C37/B37,0)</f>
        <v>0</v>
      </c>
    </row>
    <row r="38" customFormat="false" ht="19.5" hidden="false" customHeight="true" outlineLevel="0" collapsed="false">
      <c r="A38" s="30" t="s">
        <v>62</v>
      </c>
      <c r="B38" s="30" t="n">
        <f aca="false">COUNTIF('📋 Задачи'!M3:M200,"Q4 2025")</f>
        <v>0</v>
      </c>
      <c r="C38" s="30" t="n">
        <f aca="false">COUNTIFS('📋 Задачи'!J3:J200,"Выполнена",'📋 Задачи'!N3:N200,"Q4 2025")</f>
        <v>0</v>
      </c>
      <c r="D38" s="30" t="n">
        <f aca="false">COUNTIFS('📋 Задачи'!J3:J200,"В работе",'📋 Задачи'!M3:M200,"Q4 2025")</f>
        <v>0</v>
      </c>
      <c r="E38" s="30" t="n">
        <f aca="false">COUNTIFS('📋 Задачи'!J3:J200,"Отменена",'📋 Задачи'!M3:M200,"Q4 2025")</f>
        <v>0</v>
      </c>
      <c r="F38" s="31" t="n">
        <f aca="false">IFERROR(C38/B38,0)</f>
        <v>0</v>
      </c>
    </row>
    <row r="39" customFormat="false" ht="15" hidden="false" customHeight="false" outlineLevel="0" collapsed="false">
      <c r="A39" s="32" t="s">
        <v>63</v>
      </c>
      <c r="B39" s="33" t="n">
        <f aca="false">SUM(B35:B38)</f>
        <v>1</v>
      </c>
      <c r="C39" s="33" t="n">
        <f aca="false">SUM(C35:C38)</f>
        <v>1</v>
      </c>
      <c r="D39" s="33" t="n">
        <f aca="false">SUM(D35:D38)</f>
        <v>0</v>
      </c>
      <c r="E39" s="33" t="n">
        <f aca="false">SUM(E35:E38)</f>
        <v>0</v>
      </c>
      <c r="F39" s="34" t="n">
        <f aca="false">IFERROR(C39/B39,0)</f>
        <v>1</v>
      </c>
    </row>
    <row r="40" customFormat="false" ht="24" hidden="false" customHeight="true" outlineLevel="0" collapsed="false">
      <c r="A40" s="35"/>
      <c r="B40" s="35"/>
      <c r="C40" s="35"/>
      <c r="D40" s="35"/>
      <c r="E40" s="35"/>
      <c r="F40" s="35"/>
      <c r="G40" s="35"/>
    </row>
    <row r="41" customFormat="false" ht="19.5" hidden="false" customHeight="true" outlineLevel="0" collapsed="false">
      <c r="A41" s="11" t="s">
        <v>64</v>
      </c>
      <c r="B41" s="36"/>
      <c r="C41" s="36"/>
      <c r="D41" s="36"/>
      <c r="E41" s="36"/>
      <c r="F41" s="36"/>
      <c r="G41" s="36"/>
    </row>
    <row r="42" customFormat="false" ht="19.5" hidden="false" customHeight="true" outlineLevel="0" collapsed="false">
      <c r="A42" s="37" t="s">
        <v>18</v>
      </c>
      <c r="B42" s="37" t="s">
        <v>44</v>
      </c>
      <c r="C42" s="37" t="s">
        <v>52</v>
      </c>
    </row>
    <row r="43" customFormat="false" ht="19.5" hidden="false" customHeight="true" outlineLevel="0" collapsed="false">
      <c r="A43" s="38" t="s">
        <v>28</v>
      </c>
      <c r="B43" s="17" t="n">
        <f aca="false">COUNTIFS('📋 Задачи'!R3:R200,"Анализ звонка",'📋 Задачи'!M3:M200,$B$4)</f>
        <v>1</v>
      </c>
      <c r="C43" s="39" t="n">
        <f aca="false">COUNTIFS('📋 Задачи'!R3:R200,"Анализ звонка",'📋 Задачи'!J3:J200,"Выполнена",'📋 Задачи'!N3:N200,$B$4)</f>
        <v>1</v>
      </c>
    </row>
    <row r="44" customFormat="false" ht="19.5" hidden="false" customHeight="true" outlineLevel="0" collapsed="false">
      <c r="A44" s="40" t="s">
        <v>65</v>
      </c>
      <c r="B44" s="17" t="n">
        <f aca="false">COUNTIFS('📋 Задачи'!R3:R200,"Отчёт",'📋 Задачи'!M3:M200,$B$4)</f>
        <v>0</v>
      </c>
      <c r="C44" s="39" t="n">
        <f aca="false">COUNTIFS('📋 Задачи'!R3:R200,"Отчёт",'📋 Задачи'!J3:J200,"Выполнена",'📋 Задачи'!N3:N200,$B$4)</f>
        <v>0</v>
      </c>
    </row>
    <row r="45" customFormat="false" ht="19.5" hidden="false" customHeight="true" outlineLevel="0" collapsed="false">
      <c r="A45" s="38" t="s">
        <v>66</v>
      </c>
      <c r="B45" s="17" t="n">
        <f aca="false">COUNTIFS('📋 Задачи'!R3:R200,"Техническая поддержка",'📋 Задачи'!M3:M200,$B$4)</f>
        <v>0</v>
      </c>
      <c r="C45" s="39" t="n">
        <f aca="false">COUNTIFS('📋 Задачи'!R3:R200,"Техническая поддержка",'📋 Задачи'!J3:J200,"Выполнена",'📋 Задачи'!N3:N200,$B$4)</f>
        <v>0</v>
      </c>
    </row>
    <row r="46" customFormat="false" ht="19.5" hidden="false" customHeight="true" outlineLevel="0" collapsed="false">
      <c r="A46" s="40" t="s">
        <v>67</v>
      </c>
      <c r="B46" s="17" t="n">
        <f aca="false">COUNTIFS('📋 Задачи'!R3:R200,"Настройка",'📋 Задачи'!M3:M200,$B$4)</f>
        <v>0</v>
      </c>
      <c r="C46" s="39" t="n">
        <f aca="false">COUNTIFS('📋 Задачи'!R3:R200,"Настройка",'📋 Задачи'!J3:J200,"Выполнена",'📋 Задачи'!N3:N200,$B$4)</f>
        <v>0</v>
      </c>
    </row>
    <row r="47" customFormat="false" ht="19.5" hidden="false" customHeight="true" outlineLevel="0" collapsed="false">
      <c r="A47" s="38" t="s">
        <v>68</v>
      </c>
      <c r="B47" s="17" t="n">
        <f aca="false">COUNTIFS('📋 Задачи'!R3:R200,"Консультация",'📋 Задачи'!M3:M200,$B$4)</f>
        <v>0</v>
      </c>
      <c r="C47" s="39" t="n">
        <f aca="false">COUNTIFS('📋 Задачи'!R3:R200,"Консультация",'📋 Задачи'!J3:J200,"Выполнена",'📋 Задачи'!N3:N200,$B$4)</f>
        <v>0</v>
      </c>
    </row>
    <row r="48" customFormat="false" ht="15" hidden="false" customHeight="false" outlineLevel="0" collapsed="false">
      <c r="A48" s="40" t="s">
        <v>69</v>
      </c>
      <c r="B48" s="17" t="n">
        <f aca="false">COUNTIFS('📋 Задачи'!R3:R200,"Прочее",'📋 Задачи'!M3:M200,$B$4)</f>
        <v>0</v>
      </c>
      <c r="C48" s="39" t="n">
        <f aca="false">COUNTIFS('📋 Задачи'!R3:R200,"Прочее",'📋 Задачи'!J3:J200,"Выполнена",'📋 Задачи'!N3:N200,$B$4)</f>
        <v>0</v>
      </c>
    </row>
    <row r="50" customFormat="false" ht="30" hidden="false" customHeight="true" outlineLevel="0" collapsed="false">
      <c r="A50" s="35"/>
      <c r="B50" s="35"/>
      <c r="C50" s="35"/>
      <c r="D50" s="35"/>
      <c r="E50" s="35"/>
      <c r="F50" s="35"/>
      <c r="G50" s="35"/>
    </row>
    <row r="51" customFormat="false" ht="43.25" hidden="false" customHeight="false" outlineLevel="0" collapsed="false">
      <c r="A51" s="41" t="s">
        <v>70</v>
      </c>
    </row>
  </sheetData>
  <mergeCells count="8">
    <mergeCell ref="A1:G1"/>
    <mergeCell ref="A2:G2"/>
    <mergeCell ref="A6:G6"/>
    <mergeCell ref="A17:G17"/>
    <mergeCell ref="A27:G27"/>
    <mergeCell ref="A33:G33"/>
    <mergeCell ref="A40:G40"/>
    <mergeCell ref="A50:G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28"/>
  </cols>
  <sheetData>
    <row r="1" customFormat="false" ht="27.75" hidden="false" customHeight="true" outlineLevel="0" collapsed="false">
      <c r="A1" s="42" t="s">
        <v>71</v>
      </c>
      <c r="B1" s="42"/>
      <c r="C1" s="42"/>
      <c r="D1" s="42"/>
    </row>
    <row r="2" customFormat="false" ht="21.75" hidden="false" customHeight="true" outlineLevel="0" collapsed="false">
      <c r="A2" s="43" t="s">
        <v>72</v>
      </c>
      <c r="B2" s="43" t="s">
        <v>11</v>
      </c>
      <c r="C2" s="43" t="s">
        <v>18</v>
      </c>
      <c r="D2" s="43" t="s">
        <v>73</v>
      </c>
    </row>
    <row r="3" customFormat="false" ht="18" hidden="false" customHeight="true" outlineLevel="0" collapsed="false">
      <c r="A3" s="40" t="s">
        <v>23</v>
      </c>
      <c r="B3" s="40" t="s">
        <v>24</v>
      </c>
      <c r="C3" s="40" t="s">
        <v>28</v>
      </c>
      <c r="D3" s="40" t="s">
        <v>27</v>
      </c>
    </row>
    <row r="4" customFormat="false" ht="18" hidden="false" customHeight="true" outlineLevel="0" collapsed="false">
      <c r="A4" s="38" t="s">
        <v>46</v>
      </c>
      <c r="B4" s="38" t="s">
        <v>54</v>
      </c>
      <c r="C4" s="38" t="s">
        <v>65</v>
      </c>
      <c r="D4" s="38" t="s">
        <v>74</v>
      </c>
    </row>
    <row r="5" customFormat="false" ht="18" hidden="false" customHeight="true" outlineLevel="0" collapsed="false">
      <c r="A5" s="40" t="s">
        <v>47</v>
      </c>
      <c r="B5" s="40" t="s">
        <v>55</v>
      </c>
      <c r="C5" s="40" t="s">
        <v>66</v>
      </c>
      <c r="D5" s="40" t="s">
        <v>75</v>
      </c>
    </row>
    <row r="6" customFormat="false" ht="18" hidden="false" customHeight="true" outlineLevel="0" collapsed="false">
      <c r="A6" s="38" t="s">
        <v>48</v>
      </c>
      <c r="C6" s="38" t="s">
        <v>67</v>
      </c>
      <c r="D6" s="38" t="s">
        <v>76</v>
      </c>
    </row>
    <row r="7" customFormat="false" ht="18" hidden="false" customHeight="true" outlineLevel="0" collapsed="false">
      <c r="A7" s="40" t="s">
        <v>49</v>
      </c>
      <c r="C7" s="40" t="s">
        <v>68</v>
      </c>
      <c r="D7" s="40" t="s">
        <v>77</v>
      </c>
    </row>
    <row r="8" customFormat="false" ht="18" hidden="false" customHeight="true" outlineLevel="0" collapsed="false">
      <c r="A8" s="38" t="s">
        <v>41</v>
      </c>
      <c r="C8" s="38" t="s">
        <v>69</v>
      </c>
      <c r="D8" s="38" t="s">
        <v>78</v>
      </c>
    </row>
    <row r="9" customFormat="false" ht="18" hidden="false" customHeight="true" outlineLevel="0" collapsed="false">
      <c r="A9" s="40" t="s">
        <v>50</v>
      </c>
      <c r="D9" s="40" t="s">
        <v>69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2026-04-27T19:21:02Z</dcterms:created>
  <dc:creator>openpyxl</dc:creator>
  <dc:description/>
  <dc:language>en-US</dc:language>
  <cp:lastModifiedBy/>
  <dcterms:modified xsi:type="dcterms:W3CDTF">2026-05-04T05:24:11Z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